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phnecroteau/Documents/03. Projets/01. Housekeeping Dashboard/"/>
    </mc:Choice>
  </mc:AlternateContent>
  <xr:revisionPtr revIDLastSave="0" documentId="13_ncr:1_{3F698D45-9461-E84B-8E7B-97DCC0B0E568}" xr6:coauthVersionLast="47" xr6:coauthVersionMax="47" xr10:uidLastSave="{00000000-0000-0000-0000-000000000000}"/>
  <bookViews>
    <workbookView xWindow="0" yWindow="740" windowWidth="30240" windowHeight="18900" activeTab="1" xr2:uid="{02AE8A3A-1E2D-C44A-9F54-24A785244418}"/>
  </bookViews>
  <sheets>
    <sheet name="Configuration" sheetId="2" r:id="rId1"/>
    <sheet name="Weekly Schedule"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 l="1"/>
  <c r="J16" i="1"/>
  <c r="J12" i="1"/>
  <c r="I11" i="1"/>
  <c r="H11" i="1"/>
  <c r="G11" i="1"/>
  <c r="G22" i="1" s="1"/>
  <c r="F11" i="1"/>
  <c r="F22" i="1" s="1"/>
  <c r="E11" i="1"/>
  <c r="E22" i="1" s="1"/>
  <c r="D11" i="1"/>
  <c r="D22" i="1" s="1"/>
  <c r="D8" i="1"/>
  <c r="E8" i="1" s="1"/>
  <c r="E13" i="1" s="1"/>
  <c r="E15" i="1" s="1"/>
  <c r="C47" i="1"/>
  <c r="J45" i="1"/>
  <c r="I27" i="1"/>
  <c r="H27" i="1"/>
  <c r="G27" i="1"/>
  <c r="F27" i="1"/>
  <c r="E27" i="1"/>
  <c r="D27" i="1"/>
  <c r="C27" i="1"/>
  <c r="I22" i="1"/>
  <c r="H22" i="1"/>
  <c r="C19" i="1"/>
  <c r="C20" i="1" s="1"/>
  <c r="J10" i="1"/>
  <c r="J9" i="1"/>
  <c r="C13" i="1"/>
  <c r="C15" i="1" s="1"/>
  <c r="C6" i="1"/>
  <c r="D5" i="1"/>
  <c r="E5" i="1" s="1"/>
  <c r="E19" i="1" s="1"/>
  <c r="C5" i="2"/>
  <c r="C14" i="2"/>
  <c r="E13" i="2"/>
  <c r="E12" i="2"/>
  <c r="E11" i="2"/>
  <c r="E10" i="2"/>
  <c r="E14" i="2" s="1"/>
  <c r="E15" i="2" s="1"/>
  <c r="D47" i="1" l="1"/>
  <c r="D13" i="1"/>
  <c r="J27" i="1"/>
  <c r="J11" i="1"/>
  <c r="F8" i="1"/>
  <c r="E47" i="1"/>
  <c r="E23" i="1"/>
  <c r="E24" i="1"/>
  <c r="E26" i="1" s="1"/>
  <c r="E28" i="1" s="1"/>
  <c r="J22" i="1"/>
  <c r="D19" i="1"/>
  <c r="D20" i="1" s="1"/>
  <c r="C23" i="1"/>
  <c r="E20" i="1"/>
  <c r="F5" i="1"/>
  <c r="F19" i="1" s="1"/>
  <c r="E6" i="1"/>
  <c r="D6" i="1"/>
  <c r="E31" i="1" l="1"/>
  <c r="E32" i="1" s="1"/>
  <c r="E34" i="1" s="1"/>
  <c r="E35" i="1" s="1"/>
  <c r="E37" i="1" s="1"/>
  <c r="D15" i="1"/>
  <c r="D23" i="1" s="1"/>
  <c r="D24" i="1" s="1"/>
  <c r="F47" i="1"/>
  <c r="F13" i="1"/>
  <c r="G8" i="1"/>
  <c r="E46" i="1"/>
  <c r="C24" i="1"/>
  <c r="F20" i="1"/>
  <c r="G5" i="1"/>
  <c r="G19" i="1" s="1"/>
  <c r="F6" i="1"/>
  <c r="D26" i="1" l="1"/>
  <c r="D28" i="1" s="1"/>
  <c r="E38" i="1"/>
  <c r="E40" i="1" s="1"/>
  <c r="G47" i="1"/>
  <c r="H8" i="1"/>
  <c r="G13" i="1"/>
  <c r="G15" i="1" s="1"/>
  <c r="G23" i="1" s="1"/>
  <c r="G24" i="1" s="1"/>
  <c r="G26" i="1" s="1"/>
  <c r="F15" i="1"/>
  <c r="F23" i="1" s="1"/>
  <c r="C26" i="1"/>
  <c r="C28" i="1" s="1"/>
  <c r="G20" i="1"/>
  <c r="H5" i="1"/>
  <c r="H19" i="1" s="1"/>
  <c r="G6" i="1"/>
  <c r="D46" i="1" l="1"/>
  <c r="D31" i="1"/>
  <c r="D32" i="1" s="1"/>
  <c r="D34" i="1" s="1"/>
  <c r="D35" i="1" s="1"/>
  <c r="D37" i="1" s="1"/>
  <c r="D38" i="1" s="1"/>
  <c r="C31" i="1"/>
  <c r="C32" i="1" s="1"/>
  <c r="C34" i="1" s="1"/>
  <c r="E42" i="1"/>
  <c r="E48" i="1" s="1"/>
  <c r="E41" i="1"/>
  <c r="F24" i="1"/>
  <c r="G28" i="1"/>
  <c r="G46" i="1"/>
  <c r="I8" i="1"/>
  <c r="H13" i="1"/>
  <c r="H47" i="1"/>
  <c r="C46" i="1"/>
  <c r="H20" i="1"/>
  <c r="I5" i="1"/>
  <c r="H6" i="1"/>
  <c r="D40" i="1" l="1"/>
  <c r="D42" i="1" s="1"/>
  <c r="D48" i="1" s="1"/>
  <c r="G31" i="1"/>
  <c r="G32" i="1" s="1"/>
  <c r="G34" i="1" s="1"/>
  <c r="G35" i="1" s="1"/>
  <c r="G37" i="1" s="1"/>
  <c r="E43" i="1"/>
  <c r="E44" i="1"/>
  <c r="H15" i="1"/>
  <c r="I47" i="1"/>
  <c r="J47" i="1" s="1"/>
  <c r="I13" i="1"/>
  <c r="I15" i="1" s="1"/>
  <c r="I23" i="1" s="1"/>
  <c r="I24" i="1" s="1"/>
  <c r="I26" i="1" s="1"/>
  <c r="J8" i="1"/>
  <c r="F26" i="1"/>
  <c r="I6" i="1"/>
  <c r="I19" i="1"/>
  <c r="I20" i="1" s="1"/>
  <c r="D41" i="1" l="1"/>
  <c r="G38" i="1"/>
  <c r="G40" i="1" s="1"/>
  <c r="D43" i="1"/>
  <c r="D44" i="1"/>
  <c r="J13" i="1"/>
  <c r="J15" i="1"/>
  <c r="F46" i="1"/>
  <c r="F28" i="1"/>
  <c r="F31" i="1" s="1"/>
  <c r="I28" i="1"/>
  <c r="I46" i="1"/>
  <c r="H23" i="1"/>
  <c r="I31" i="1" l="1"/>
  <c r="I32" i="1" s="1"/>
  <c r="I34" i="1" s="1"/>
  <c r="I35" i="1" s="1"/>
  <c r="I37" i="1" s="1"/>
  <c r="G42" i="1"/>
  <c r="G48" i="1" s="1"/>
  <c r="G41" i="1"/>
  <c r="H24" i="1"/>
  <c r="J23" i="1"/>
  <c r="I38" i="1" l="1"/>
  <c r="I40" i="1" s="1"/>
  <c r="G44" i="1"/>
  <c r="G43" i="1"/>
  <c r="F32" i="1"/>
  <c r="F34" i="1" s="1"/>
  <c r="H26" i="1"/>
  <c r="J24" i="1"/>
  <c r="C35" i="1"/>
  <c r="C37" i="1" s="1"/>
  <c r="I41" i="1" l="1"/>
  <c r="I42" i="1"/>
  <c r="I48" i="1" s="1"/>
  <c r="H46" i="1"/>
  <c r="J46" i="1" s="1"/>
  <c r="H28" i="1"/>
  <c r="H31" i="1" s="1"/>
  <c r="J26" i="1"/>
  <c r="I44" i="1" l="1"/>
  <c r="I43" i="1"/>
  <c r="F35" i="1"/>
  <c r="F37" i="1" s="1"/>
  <c r="J28" i="1"/>
  <c r="C38" i="1"/>
  <c r="C40" i="1" s="1"/>
  <c r="H32" i="1" l="1"/>
  <c r="H34" i="1" s="1"/>
  <c r="J31" i="1"/>
  <c r="F38" i="1" l="1"/>
  <c r="F40" i="1" s="1"/>
  <c r="J32" i="1"/>
  <c r="C41" i="1"/>
  <c r="C42" i="1"/>
  <c r="C48" i="1" s="1"/>
  <c r="H35" i="1" l="1"/>
  <c r="H37" i="1" s="1"/>
  <c r="J34" i="1"/>
  <c r="C44" i="1"/>
  <c r="C43" i="1"/>
  <c r="F41" i="1" l="1"/>
  <c r="F42" i="1"/>
  <c r="F48" i="1" s="1"/>
  <c r="J35" i="1"/>
  <c r="H38" i="1" l="1"/>
  <c r="H40" i="1" s="1"/>
  <c r="J37" i="1"/>
  <c r="F44" i="1"/>
  <c r="F43" i="1"/>
  <c r="J38" i="1" l="1"/>
  <c r="H41" i="1" l="1"/>
  <c r="J41" i="1" s="1"/>
  <c r="H42" i="1"/>
  <c r="H48" i="1" s="1"/>
  <c r="J40" i="1"/>
  <c r="H44" i="1" l="1"/>
  <c r="J44" i="1" s="1"/>
  <c r="H43" i="1"/>
  <c r="J43" i="1" s="1"/>
  <c r="J42" i="1"/>
  <c r="J48" i="1" s="1"/>
</calcChain>
</file>

<file path=xl/sharedStrings.xml><?xml version="1.0" encoding="utf-8"?>
<sst xmlns="http://schemas.openxmlformats.org/spreadsheetml/2006/main" count="97" uniqueCount="84">
  <si>
    <t>Hotel name</t>
  </si>
  <si>
    <t>Number of rooms</t>
  </si>
  <si>
    <t>Value of Rooms (credits)</t>
  </si>
  <si>
    <t>Room Type</t>
  </si>
  <si>
    <t>Type 1</t>
  </si>
  <si>
    <t>Type 2</t>
  </si>
  <si>
    <t>Number of Rooms</t>
  </si>
  <si>
    <t>Type 3</t>
  </si>
  <si>
    <t>Type 4</t>
  </si>
  <si>
    <t>Total</t>
  </si>
  <si>
    <t># of Credits</t>
  </si>
  <si>
    <t>Total Credits</t>
  </si>
  <si>
    <t>Example</t>
  </si>
  <si>
    <t>Shift Lenght (hours)</t>
  </si>
  <si>
    <t>Average Credit / Room</t>
  </si>
  <si>
    <t>Departures Drop Rules (as per the contract)</t>
  </si>
  <si>
    <t>Rule #</t>
  </si>
  <si>
    <t>Departures</t>
  </si>
  <si>
    <t>Rule 1</t>
  </si>
  <si>
    <t>Notes</t>
  </si>
  <si>
    <t>Rule 2</t>
  </si>
  <si>
    <t>Rule 3</t>
  </si>
  <si>
    <t>Rule 4</t>
  </si>
  <si>
    <t>Description</t>
  </si>
  <si>
    <t>In this example, the value of a Departure and a Stayover is the same, and the hotel does not offer Turndown service. If needed, a personalized dashboard can be built on your specific hotel needs.</t>
  </si>
  <si>
    <t>Max Credits to clean</t>
  </si>
  <si>
    <t>Configuration - Housekeeping Room Attendant Scheduling Tool</t>
  </si>
  <si>
    <t>Weekly Schedule - Housekeeping Room Attendant Scheduling Tool</t>
  </si>
  <si>
    <t>Date</t>
  </si>
  <si>
    <t>Weekday</t>
  </si>
  <si>
    <t>Forecasted Volumes</t>
  </si>
  <si>
    <t>Occupied Rooms</t>
  </si>
  <si>
    <t>Arrivals</t>
  </si>
  <si>
    <t>Stayovers (calculated)</t>
  </si>
  <si>
    <t>DND and RS %</t>
  </si>
  <si>
    <t>DND and RS # (calculated)</t>
  </si>
  <si>
    <t>In this example, the DND and Refused Service (RS) is hard coded, but ideally it should be a forecast based on historical information</t>
  </si>
  <si>
    <t>Stayovers can be calculated as (Last Night Occupied Rooms - Today's Departures) or (Today's Occupied Rooms - Today's Arrivals)</t>
  </si>
  <si>
    <t>Additional Credits Drop</t>
  </si>
  <si>
    <t>In this example, we only have one line for additional credits dropped (ex. travel credits, multiple beds, etc.), but a personalized example could plan for the individual credits to drop</t>
  </si>
  <si>
    <t>Rooms Carried Over (from yesterday)</t>
  </si>
  <si>
    <t>Statistics</t>
  </si>
  <si>
    <t>Calculation</t>
  </si>
  <si>
    <t>In this example, we only consider Departures, Rooms to Carry or Carried Over, and Stayovers, but a personalized example could also consider rooms to clean that were out of order, expected room moves, etc.</t>
  </si>
  <si>
    <t>Rooms Statistics</t>
  </si>
  <si>
    <t>Departures to clean</t>
  </si>
  <si>
    <t>Stayovers to clean</t>
  </si>
  <si>
    <t>Estimated Credits to clean</t>
  </si>
  <si>
    <t>Calculated Credits to clean</t>
  </si>
  <si>
    <t>Total Rooms to clean</t>
  </si>
  <si>
    <t>Rooms to Carry Over (to tomorrow)</t>
  </si>
  <si>
    <t>Additional Credits to Drop</t>
  </si>
  <si>
    <t>Total Credits to consider</t>
  </si>
  <si>
    <t>Departures to clean are calculated as : Departures of the day + Rooms Carried Over from Yesterday - Rooms to Carry Over to Tomorrow</t>
  </si>
  <si>
    <t>Stayovers to clean are calculated as : Stayovers - expected DND and RS rooms</t>
  </si>
  <si>
    <t>Room Attendants to schedule</t>
  </si>
  <si>
    <t>First Rule (Maximum Credit Attainment)</t>
  </si>
  <si>
    <t># of Room Attendant</t>
  </si>
  <si>
    <t>Average # of Departures / Room Attendant</t>
  </si>
  <si>
    <t>Second Rule</t>
  </si>
  <si>
    <t>Third Rule</t>
  </si>
  <si>
    <t>Fourth Rule</t>
  </si>
  <si>
    <t>Total Room Attendants to schedule</t>
  </si>
  <si>
    <t>Scheduled Credit Attainment</t>
  </si>
  <si>
    <t>Scheduled HPOR</t>
  </si>
  <si>
    <t>Total Room Attendants scheduled</t>
  </si>
  <si>
    <t>Potential Credit Attainment</t>
  </si>
  <si>
    <t>Potential HPOR</t>
  </si>
  <si>
    <t>Variance (# of Room Attendants)</t>
  </si>
  <si>
    <t>In this example, the number of Room Attendants scheduled is hard coded, but a personalized example could reference your scheduling dashboard or scheduling system</t>
  </si>
  <si>
    <t>In this calculation, we apply the first rule of the contract (at a maximum, a Room Attendant can clean X credits)</t>
  </si>
  <si>
    <t>Notes on the variance</t>
  </si>
  <si>
    <t>Maximum of 13 credits at all time</t>
  </si>
  <si>
    <t>If 8 departures or more, drop 1 credit</t>
  </si>
  <si>
    <t>If 9 departures or more, drop 2 credits</t>
  </si>
  <si>
    <t>If 10 departures or more, drop 3 credits</t>
  </si>
  <si>
    <t>If the number of departures from the Rule 1 section is more than the what the second Rule is suggesting, this row is suggesting to then apply the maximum credits suggested by Rule 2 instead of Rule 1.</t>
  </si>
  <si>
    <t>If the number of departures from the Rule 2 section is more than the what the third Rule is suggesting, this row is suggesting to then apply the maximum credits suggested by Rule 3 instead of Rule 2.</t>
  </si>
  <si>
    <t>If the number of departures from the Rule 3 section is more than the what the fourth Rule is suggesting, this row is suggesting to then apply the maximum credits suggested by Rule 4 instead of Rule 3.</t>
  </si>
  <si>
    <t>This row tells you the total number of Room Attendants to schedule to clean all your expected rooms to clean (Departures, Rooms Carried Over, and Stayovers)</t>
  </si>
  <si>
    <t>This row tells you the potential Credits Attained / Room Attendant. Realistically, if your Forecasted stats are representative of your Actual stats, and that you follow your contract rules, then this is the maximum Credits Attainment / Room Attendant you could expect to achieve.</t>
  </si>
  <si>
    <t>Same information as above, but using your Scheduled Room Attendants</t>
  </si>
  <si>
    <t>The variance (number of Room Attendants) between what the tool is suggesting you to schedule versus what you have scheduled</t>
  </si>
  <si>
    <t>For learnings and sharing strategies across team members, it is always best to take notes of why you decided to schedule more or less Room Attendants than suggested (ex. Cheerleading Competition, expecting rooms to be longer to clean than usual).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</si>
</sst>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
    <numFmt numFmtId="173" formatCode="#,##0.0"/>
  </numFmts>
  <fonts count="6" x14ac:knownFonts="1">
    <font>
      <sz val="12"/>
      <color theme="1"/>
      <name val="Aptos Narrow"/>
      <family val="2"/>
      <scheme val="minor"/>
    </font>
    <font>
      <sz val="12"/>
      <color theme="1"/>
      <name val="Aptos Narrow"/>
      <family val="2"/>
      <scheme val="minor"/>
    </font>
    <font>
      <sz val="10"/>
      <color theme="0"/>
      <name val="Aptos Narrow"/>
      <family val="2"/>
      <scheme val="minor"/>
    </font>
    <font>
      <sz val="10"/>
      <color theme="1"/>
      <name val="Aptos Narrow"/>
      <family val="2"/>
      <scheme val="minor"/>
    </font>
    <font>
      <i/>
      <sz val="10"/>
      <color theme="1"/>
      <name val="Aptos Narrow"/>
      <scheme val="minor"/>
    </font>
    <font>
      <b/>
      <sz val="10"/>
      <color theme="1"/>
      <name val="Aptos Narrow"/>
      <scheme val="minor"/>
    </font>
  </fonts>
  <fills count="8">
    <fill>
      <patternFill patternType="none"/>
    </fill>
    <fill>
      <patternFill patternType="gray125"/>
    </fill>
    <fill>
      <patternFill patternType="solid">
        <fgColor rgb="FF193B4A"/>
        <bgColor indexed="64"/>
      </patternFill>
    </fill>
    <fill>
      <patternFill patternType="solid">
        <fgColor rgb="FFF6F7F8"/>
        <bgColor indexed="64"/>
      </patternFill>
    </fill>
    <fill>
      <patternFill patternType="solid">
        <fgColor rgb="FFFBE8DC"/>
        <bgColor indexed="64"/>
      </patternFill>
    </fill>
    <fill>
      <patternFill patternType="solid">
        <fgColor rgb="FFD0DDE2"/>
        <bgColor indexed="64"/>
      </patternFill>
    </fill>
    <fill>
      <patternFill patternType="solid">
        <fgColor rgb="FF3A6878"/>
        <bgColor indexed="64"/>
      </patternFill>
    </fill>
    <fill>
      <patternFill patternType="solid">
        <fgColor rgb="FFFFFFFF"/>
        <bgColor indexed="64"/>
      </patternFill>
    </fill>
  </fills>
  <borders count="5">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indexed="64"/>
      </right>
      <top style="hair">
        <color indexed="64"/>
      </top>
      <bottom style="hair">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2" fillId="2" borderId="0" xfId="0" applyFont="1" applyFill="1" applyAlignment="1">
      <alignment horizontal="left" vertical="center" indent="1"/>
    </xf>
    <xf numFmtId="0" fontId="2" fillId="2" borderId="0" xfId="0" applyFont="1" applyFill="1" applyAlignment="1">
      <alignment horizontal="center" vertical="center"/>
    </xf>
    <xf numFmtId="0" fontId="3" fillId="0" borderId="0" xfId="0" applyFont="1" applyAlignment="1">
      <alignment horizontal="center"/>
    </xf>
    <xf numFmtId="0" fontId="4" fillId="3" borderId="0" xfId="0" applyFont="1" applyFill="1" applyAlignment="1">
      <alignment horizontal="left" vertical="top" wrapText="1"/>
    </xf>
    <xf numFmtId="0" fontId="2" fillId="6" borderId="1" xfId="0" applyFont="1" applyFill="1" applyBorder="1" applyAlignment="1">
      <alignment horizontal="center"/>
    </xf>
    <xf numFmtId="0" fontId="2" fillId="6" borderId="1" xfId="0" applyFont="1" applyFill="1" applyBorder="1" applyAlignment="1">
      <alignment horizontal="left" indent="1"/>
    </xf>
    <xf numFmtId="0" fontId="2" fillId="6" borderId="1" xfId="0" applyFont="1" applyFill="1" applyBorder="1" applyAlignment="1">
      <alignment horizontal="left"/>
    </xf>
    <xf numFmtId="0" fontId="2" fillId="6" borderId="1" xfId="0" applyFont="1" applyFill="1" applyBorder="1" applyAlignment="1">
      <alignment horizontal="center"/>
    </xf>
    <xf numFmtId="0" fontId="3" fillId="4" borderId="1" xfId="0" applyFont="1" applyFill="1" applyBorder="1" applyAlignment="1">
      <alignment horizontal="center" vertical="center"/>
    </xf>
    <xf numFmtId="0" fontId="2" fillId="6" borderId="1" xfId="0" applyFont="1" applyFill="1" applyBorder="1" applyAlignment="1">
      <alignment horizontal="right" indent="1"/>
    </xf>
    <xf numFmtId="168" fontId="3" fillId="3" borderId="1" xfId="0" applyNumberFormat="1" applyFont="1" applyFill="1" applyBorder="1" applyAlignment="1">
      <alignment horizontal="center"/>
    </xf>
    <xf numFmtId="0" fontId="3" fillId="0" borderId="1" xfId="0" applyFont="1" applyBorder="1" applyAlignment="1">
      <alignment horizontal="left" indent="1"/>
    </xf>
    <xf numFmtId="0" fontId="3" fillId="4" borderId="1" xfId="0" applyFont="1" applyFill="1" applyBorder="1" applyAlignment="1">
      <alignment horizontal="center"/>
    </xf>
    <xf numFmtId="0" fontId="3" fillId="3" borderId="1" xfId="0" applyFont="1" applyFill="1" applyBorder="1" applyAlignment="1">
      <alignment horizontal="center" vertical="center"/>
    </xf>
    <xf numFmtId="0" fontId="3" fillId="7" borderId="1" xfId="0" applyFont="1" applyFill="1" applyBorder="1" applyAlignment="1">
      <alignment horizontal="center"/>
    </xf>
    <xf numFmtId="0" fontId="2" fillId="6" borderId="1" xfId="0" applyFont="1" applyFill="1" applyBorder="1" applyAlignment="1">
      <alignment horizontal="left" vertical="center" indent="1"/>
    </xf>
    <xf numFmtId="0" fontId="3" fillId="5" borderId="0" xfId="0" applyFont="1" applyFill="1" applyAlignment="1">
      <alignment horizontal="center"/>
    </xf>
    <xf numFmtId="0" fontId="3" fillId="3" borderId="1" xfId="0" applyFont="1" applyFill="1" applyBorder="1" applyAlignment="1">
      <alignment horizontal="left" indent="1"/>
    </xf>
    <xf numFmtId="0" fontId="4" fillId="3" borderId="1" xfId="0" applyFont="1" applyFill="1" applyBorder="1" applyAlignment="1">
      <alignment horizontal="left" indent="1"/>
    </xf>
    <xf numFmtId="0" fontId="4" fillId="3" borderId="3" xfId="0" applyFont="1" applyFill="1" applyBorder="1" applyAlignment="1"/>
    <xf numFmtId="0" fontId="4" fillId="3" borderId="4" xfId="0" applyFont="1" applyFill="1" applyBorder="1" applyAlignment="1"/>
    <xf numFmtId="0" fontId="4" fillId="3" borderId="1" xfId="0" applyFont="1" applyFill="1" applyBorder="1" applyAlignment="1">
      <alignment horizontal="left" vertical="top" indent="1"/>
    </xf>
    <xf numFmtId="3" fontId="3" fillId="0" borderId="0" xfId="0" applyNumberFormat="1" applyFont="1" applyAlignment="1">
      <alignment horizontal="center"/>
    </xf>
    <xf numFmtId="3" fontId="2" fillId="2" borderId="0" xfId="0" applyNumberFormat="1" applyFont="1" applyFill="1" applyAlignment="1">
      <alignment horizontal="left" vertical="center" indent="1"/>
    </xf>
    <xf numFmtId="3" fontId="2" fillId="2" borderId="0" xfId="0" applyNumberFormat="1" applyFont="1" applyFill="1" applyAlignment="1">
      <alignment horizontal="center" vertical="center"/>
    </xf>
    <xf numFmtId="3" fontId="5" fillId="0" borderId="0" xfId="0" applyNumberFormat="1" applyFont="1" applyAlignment="1">
      <alignment horizontal="left" indent="1"/>
    </xf>
    <xf numFmtId="3" fontId="2" fillId="6" borderId="1" xfId="0" applyNumberFormat="1" applyFont="1" applyFill="1" applyBorder="1" applyAlignment="1">
      <alignment horizontal="left" indent="1"/>
    </xf>
    <xf numFmtId="3" fontId="3" fillId="4" borderId="1" xfId="0" applyNumberFormat="1" applyFont="1" applyFill="1" applyBorder="1" applyAlignment="1">
      <alignment horizontal="center" vertical="center"/>
    </xf>
    <xf numFmtId="3" fontId="2" fillId="6" borderId="1" xfId="0" applyNumberFormat="1" applyFont="1" applyFill="1" applyBorder="1" applyAlignment="1">
      <alignment horizontal="center" vertical="center"/>
    </xf>
    <xf numFmtId="3" fontId="3" fillId="5" borderId="2" xfId="0" applyNumberFormat="1" applyFont="1" applyFill="1" applyBorder="1" applyAlignment="1">
      <alignment horizontal="center"/>
    </xf>
    <xf numFmtId="3" fontId="3" fillId="5" borderId="3" xfId="0" applyNumberFormat="1" applyFont="1" applyFill="1" applyBorder="1" applyAlignment="1">
      <alignment horizontal="center"/>
    </xf>
    <xf numFmtId="3" fontId="3" fillId="4" borderId="1" xfId="0" applyNumberFormat="1" applyFont="1" applyFill="1" applyBorder="1" applyAlignment="1">
      <alignment horizontal="center"/>
    </xf>
    <xf numFmtId="3" fontId="3" fillId="3" borderId="1" xfId="0" applyNumberFormat="1" applyFont="1" applyFill="1" applyBorder="1" applyAlignment="1">
      <alignment horizontal="center"/>
    </xf>
    <xf numFmtId="3" fontId="4" fillId="3" borderId="2" xfId="0" applyNumberFormat="1" applyFont="1" applyFill="1" applyBorder="1" applyAlignment="1">
      <alignment horizontal="left" indent="1"/>
    </xf>
    <xf numFmtId="3" fontId="4" fillId="3" borderId="3" xfId="0" applyNumberFormat="1" applyFont="1" applyFill="1" applyBorder="1" applyAlignment="1">
      <alignment horizontal="left" indent="1"/>
    </xf>
    <xf numFmtId="3" fontId="4" fillId="3" borderId="4" xfId="0" applyNumberFormat="1" applyFont="1" applyFill="1" applyBorder="1" applyAlignment="1">
      <alignment horizontal="left" indent="1"/>
    </xf>
    <xf numFmtId="3" fontId="3" fillId="7" borderId="1" xfId="0" applyNumberFormat="1" applyFont="1" applyFill="1" applyBorder="1" applyAlignment="1">
      <alignment horizontal="left" indent="1"/>
    </xf>
    <xf numFmtId="3" fontId="3" fillId="7" borderId="1" xfId="0" applyNumberFormat="1" applyFont="1" applyFill="1" applyBorder="1" applyAlignment="1">
      <alignment horizontal="center"/>
    </xf>
    <xf numFmtId="3" fontId="4" fillId="7" borderId="1" xfId="0" applyNumberFormat="1" applyFont="1" applyFill="1" applyBorder="1" applyAlignment="1">
      <alignment horizontal="left" indent="1"/>
    </xf>
    <xf numFmtId="3" fontId="3" fillId="7" borderId="1" xfId="0" applyNumberFormat="1" applyFont="1" applyFill="1" applyBorder="1" applyAlignment="1">
      <alignment horizontal="left" vertical="top" indent="1"/>
    </xf>
    <xf numFmtId="3" fontId="3" fillId="4" borderId="1" xfId="0" applyNumberFormat="1" applyFont="1" applyFill="1" applyBorder="1" applyAlignment="1">
      <alignment horizontal="left" vertical="top" wrapText="1"/>
    </xf>
    <xf numFmtId="9" fontId="3" fillId="4" borderId="1" xfId="1" applyFont="1" applyFill="1" applyBorder="1" applyAlignment="1">
      <alignment horizontal="center"/>
    </xf>
    <xf numFmtId="173" fontId="3" fillId="7" borderId="1" xfId="0" applyNumberFormat="1" applyFont="1" applyFill="1" applyBorder="1" applyAlignment="1">
      <alignment horizontal="center"/>
    </xf>
  </cellXfs>
  <cellStyles count="2">
    <cellStyle name="Normal" xfId="0" builtinId="0"/>
    <cellStyle name="Percent" xfId="1" builtinId="5"/>
  </cellStyles>
  <dxfs count="10">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6F7F8"/>
      <color rgb="FFFBE8DC"/>
      <color rgb="FFFFFFFF"/>
      <color rgb="FF3A6878"/>
      <color rgb="FFD0DDE2"/>
      <color rgb="FF2E6E82"/>
      <color rgb="FF112830"/>
      <color rgb="FFC96848"/>
      <color rgb="FF193B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D75CB-D91A-DD47-8840-9D9C0A975E65}">
  <dimension ref="B1:AD26"/>
  <sheetViews>
    <sheetView showGridLines="0" zoomScale="150" workbookViewId="0">
      <selection activeCell="E23" sqref="E23"/>
    </sheetView>
  </sheetViews>
  <sheetFormatPr baseColWidth="10" defaultColWidth="0" defaultRowHeight="14" customHeight="1" zeroHeight="1" x14ac:dyDescent="0.2"/>
  <cols>
    <col min="1" max="1" width="2.83203125" style="3" customWidth="1"/>
    <col min="2" max="2" width="21.5" style="3" customWidth="1"/>
    <col min="3" max="5" width="14.83203125" style="3" customWidth="1"/>
    <col min="6" max="7" width="10.83203125" style="3" customWidth="1"/>
    <col min="8" max="8" width="2.83203125" style="3" customWidth="1"/>
    <col min="9" max="30" width="0" style="3" hidden="1"/>
    <col min="31" max="16384" width="10.83203125" style="3" hidden="1"/>
  </cols>
  <sheetData>
    <row r="1" spans="2:7" x14ac:dyDescent="0.2"/>
    <row r="2" spans="2:7" x14ac:dyDescent="0.2">
      <c r="B2" s="1" t="s">
        <v>26</v>
      </c>
      <c r="C2" s="2"/>
      <c r="D2" s="2"/>
      <c r="E2" s="2"/>
      <c r="F2" s="2"/>
      <c r="G2" s="2"/>
    </row>
    <row r="3" spans="2:7" x14ac:dyDescent="0.2"/>
    <row r="4" spans="2:7" x14ac:dyDescent="0.2">
      <c r="B4" s="6" t="s">
        <v>0</v>
      </c>
      <c r="C4" s="13" t="s">
        <v>12</v>
      </c>
    </row>
    <row r="5" spans="2:7" x14ac:dyDescent="0.2">
      <c r="B5" s="6" t="s">
        <v>1</v>
      </c>
      <c r="C5" s="13">
        <f>C14</f>
        <v>255</v>
      </c>
    </row>
    <row r="6" spans="2:7" x14ac:dyDescent="0.2">
      <c r="B6" s="6" t="s">
        <v>13</v>
      </c>
      <c r="C6" s="13">
        <v>8</v>
      </c>
    </row>
    <row r="7" spans="2:7" x14ac:dyDescent="0.2"/>
    <row r="8" spans="2:7" x14ac:dyDescent="0.2">
      <c r="B8" s="5" t="s">
        <v>2</v>
      </c>
      <c r="C8" s="5"/>
      <c r="D8" s="5"/>
      <c r="E8" s="5"/>
    </row>
    <row r="9" spans="2:7" x14ac:dyDescent="0.2">
      <c r="B9" s="6" t="s">
        <v>3</v>
      </c>
      <c r="C9" s="7" t="s">
        <v>6</v>
      </c>
      <c r="D9" s="8" t="s">
        <v>10</v>
      </c>
      <c r="E9" s="8" t="s">
        <v>11</v>
      </c>
    </row>
    <row r="10" spans="2:7" x14ac:dyDescent="0.2">
      <c r="B10" s="6" t="s">
        <v>4</v>
      </c>
      <c r="C10" s="9">
        <v>120</v>
      </c>
      <c r="D10" s="9">
        <v>1</v>
      </c>
      <c r="E10" s="14">
        <f>C10*D10</f>
        <v>120</v>
      </c>
    </row>
    <row r="11" spans="2:7" x14ac:dyDescent="0.2">
      <c r="B11" s="6" t="s">
        <v>5</v>
      </c>
      <c r="C11" s="9">
        <v>85</v>
      </c>
      <c r="D11" s="9">
        <v>1.5</v>
      </c>
      <c r="E11" s="14">
        <f t="shared" ref="E11:E13" si="0">C11*D11</f>
        <v>127.5</v>
      </c>
    </row>
    <row r="12" spans="2:7" x14ac:dyDescent="0.2">
      <c r="B12" s="6" t="s">
        <v>7</v>
      </c>
      <c r="C12" s="9">
        <v>45</v>
      </c>
      <c r="D12" s="9">
        <v>2</v>
      </c>
      <c r="E12" s="14">
        <f t="shared" si="0"/>
        <v>90</v>
      </c>
    </row>
    <row r="13" spans="2:7" x14ac:dyDescent="0.2">
      <c r="B13" s="6" t="s">
        <v>8</v>
      </c>
      <c r="C13" s="9">
        <v>5</v>
      </c>
      <c r="D13" s="9">
        <v>3</v>
      </c>
      <c r="E13" s="14">
        <f t="shared" si="0"/>
        <v>15</v>
      </c>
    </row>
    <row r="14" spans="2:7" x14ac:dyDescent="0.2">
      <c r="B14" s="6" t="s">
        <v>9</v>
      </c>
      <c r="C14" s="14">
        <f>SUM(C10:C13)</f>
        <v>255</v>
      </c>
      <c r="D14" s="14"/>
      <c r="E14" s="14">
        <f t="shared" ref="E14" si="1">SUM(E10:E13)</f>
        <v>352.5</v>
      </c>
    </row>
    <row r="15" spans="2:7" x14ac:dyDescent="0.2">
      <c r="B15" s="10" t="s">
        <v>14</v>
      </c>
      <c r="C15" s="10"/>
      <c r="D15" s="10"/>
      <c r="E15" s="11">
        <f>E14/C14</f>
        <v>1.3823529411764706</v>
      </c>
    </row>
    <row r="16" spans="2:7" x14ac:dyDescent="0.2"/>
    <row r="17" spans="2:7" x14ac:dyDescent="0.2">
      <c r="B17" s="5" t="s">
        <v>15</v>
      </c>
      <c r="C17" s="5"/>
      <c r="D17" s="5"/>
      <c r="E17" s="5"/>
      <c r="F17" s="5"/>
      <c r="G17" s="5"/>
    </row>
    <row r="18" spans="2:7" x14ac:dyDescent="0.2">
      <c r="B18" s="6" t="s">
        <v>16</v>
      </c>
      <c r="C18" s="8" t="s">
        <v>17</v>
      </c>
      <c r="D18" s="8" t="s">
        <v>25</v>
      </c>
      <c r="E18" s="5" t="s">
        <v>23</v>
      </c>
      <c r="F18" s="5"/>
      <c r="G18" s="5"/>
    </row>
    <row r="19" spans="2:7" x14ac:dyDescent="0.2">
      <c r="B19" s="6" t="s">
        <v>18</v>
      </c>
      <c r="C19" s="15"/>
      <c r="D19" s="13">
        <v>13</v>
      </c>
      <c r="E19" s="12" t="s">
        <v>72</v>
      </c>
      <c r="F19" s="12"/>
      <c r="G19" s="12"/>
    </row>
    <row r="20" spans="2:7" x14ac:dyDescent="0.2">
      <c r="B20" s="6" t="s">
        <v>20</v>
      </c>
      <c r="C20" s="13">
        <v>8</v>
      </c>
      <c r="D20" s="13">
        <v>12</v>
      </c>
      <c r="E20" s="12" t="s">
        <v>73</v>
      </c>
      <c r="F20" s="12"/>
      <c r="G20" s="12"/>
    </row>
    <row r="21" spans="2:7" x14ac:dyDescent="0.2">
      <c r="B21" s="6" t="s">
        <v>21</v>
      </c>
      <c r="C21" s="13">
        <v>9</v>
      </c>
      <c r="D21" s="13">
        <v>11</v>
      </c>
      <c r="E21" s="12" t="s">
        <v>74</v>
      </c>
      <c r="F21" s="12"/>
      <c r="G21" s="12"/>
    </row>
    <row r="22" spans="2:7" x14ac:dyDescent="0.2">
      <c r="B22" s="6" t="s">
        <v>22</v>
      </c>
      <c r="C22" s="13">
        <v>10</v>
      </c>
      <c r="D22" s="13">
        <v>10</v>
      </c>
      <c r="E22" s="12" t="s">
        <v>75</v>
      </c>
      <c r="F22" s="12"/>
      <c r="G22" s="12"/>
    </row>
    <row r="23" spans="2:7" x14ac:dyDescent="0.2"/>
    <row r="24" spans="2:7" ht="14" customHeight="1" x14ac:dyDescent="0.2">
      <c r="B24" s="4" t="s">
        <v>24</v>
      </c>
      <c r="C24" s="4"/>
      <c r="D24" s="4"/>
      <c r="E24" s="4"/>
      <c r="F24" s="4"/>
      <c r="G24" s="4"/>
    </row>
    <row r="25" spans="2:7" x14ac:dyDescent="0.2">
      <c r="B25" s="4"/>
      <c r="C25" s="4"/>
      <c r="D25" s="4"/>
      <c r="E25" s="4"/>
      <c r="F25" s="4"/>
      <c r="G25" s="4"/>
    </row>
    <row r="26" spans="2:7" x14ac:dyDescent="0.2"/>
  </sheetData>
  <mergeCells count="9">
    <mergeCell ref="E21:G21"/>
    <mergeCell ref="E22:G22"/>
    <mergeCell ref="B24:G25"/>
    <mergeCell ref="B8:E8"/>
    <mergeCell ref="B15:D15"/>
    <mergeCell ref="B17:G17"/>
    <mergeCell ref="E18:G18"/>
    <mergeCell ref="E19:G19"/>
    <mergeCell ref="E20:G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0873-B60B-DD4C-BE3A-5ACA2C256582}">
  <dimension ref="A1:AG50"/>
  <sheetViews>
    <sheetView showGridLines="0" tabSelected="1" workbookViewId="0">
      <selection activeCell="L49" sqref="L49"/>
    </sheetView>
  </sheetViews>
  <sheetFormatPr baseColWidth="10" defaultColWidth="0" defaultRowHeight="14" zeroHeight="1" x14ac:dyDescent="0.2"/>
  <cols>
    <col min="1" max="1" width="2.83203125" style="23" customWidth="1"/>
    <col min="2" max="2" width="28" style="23" customWidth="1"/>
    <col min="3" max="10" width="12.83203125" style="23" customWidth="1"/>
    <col min="11" max="11" width="2.83203125" style="3" customWidth="1"/>
    <col min="12" max="12" width="157.33203125" style="3" bestFit="1" customWidth="1"/>
    <col min="13" max="13" width="2.83203125" style="3" customWidth="1"/>
    <col min="14" max="33" width="0" style="3" hidden="1"/>
    <col min="34" max="16384" width="10.83203125" style="3" hidden="1"/>
  </cols>
  <sheetData>
    <row r="1" spans="2:12" x14ac:dyDescent="0.2"/>
    <row r="2" spans="2:12" x14ac:dyDescent="0.2">
      <c r="B2" s="24" t="s">
        <v>27</v>
      </c>
      <c r="C2" s="25"/>
      <c r="D2" s="25"/>
      <c r="E2" s="25"/>
      <c r="F2" s="25"/>
      <c r="G2" s="25"/>
      <c r="H2" s="25"/>
      <c r="I2" s="25"/>
      <c r="J2" s="25"/>
      <c r="K2" s="2"/>
    </row>
    <row r="3" spans="2:12" x14ac:dyDescent="0.2"/>
    <row r="4" spans="2:12" x14ac:dyDescent="0.2">
      <c r="B4" s="26" t="s">
        <v>41</v>
      </c>
    </row>
    <row r="5" spans="2:12" x14ac:dyDescent="0.2">
      <c r="B5" s="27" t="s">
        <v>28</v>
      </c>
      <c r="C5" s="28">
        <v>46117</v>
      </c>
      <c r="D5" s="29">
        <f>C5+1</f>
        <v>46118</v>
      </c>
      <c r="E5" s="29">
        <f t="shared" ref="E5:I5" si="0">D5+1</f>
        <v>46119</v>
      </c>
      <c r="F5" s="29">
        <f t="shared" si="0"/>
        <v>46120</v>
      </c>
      <c r="G5" s="29">
        <f t="shared" si="0"/>
        <v>46121</v>
      </c>
      <c r="H5" s="29">
        <f t="shared" si="0"/>
        <v>46122</v>
      </c>
      <c r="I5" s="29">
        <f t="shared" si="0"/>
        <v>46123</v>
      </c>
    </row>
    <row r="6" spans="2:12" x14ac:dyDescent="0.2">
      <c r="B6" s="27" t="s">
        <v>29</v>
      </c>
      <c r="C6" s="29" t="str">
        <f>TEXT(WEEKDAY(C5,1),"dddd")</f>
        <v>Sunday</v>
      </c>
      <c r="D6" s="29" t="str">
        <f t="shared" ref="D6:I6" si="1">TEXT(WEEKDAY(D5,1),"dddd")</f>
        <v>Monday</v>
      </c>
      <c r="E6" s="29" t="str">
        <f t="shared" si="1"/>
        <v>Tuesday</v>
      </c>
      <c r="F6" s="29" t="str">
        <f t="shared" si="1"/>
        <v>Wednesday</v>
      </c>
      <c r="G6" s="29" t="str">
        <f t="shared" si="1"/>
        <v>Thursday</v>
      </c>
      <c r="H6" s="29" t="str">
        <f t="shared" si="1"/>
        <v>Friday</v>
      </c>
      <c r="I6" s="29" t="str">
        <f t="shared" si="1"/>
        <v>Saturday</v>
      </c>
      <c r="J6" s="29" t="s">
        <v>9</v>
      </c>
      <c r="L6" s="16" t="s">
        <v>19</v>
      </c>
    </row>
    <row r="7" spans="2:12" x14ac:dyDescent="0.2">
      <c r="B7" s="30" t="s">
        <v>30</v>
      </c>
      <c r="C7" s="31"/>
      <c r="D7" s="31"/>
      <c r="E7" s="31"/>
      <c r="F7" s="31"/>
      <c r="G7" s="31"/>
      <c r="H7" s="31"/>
      <c r="I7" s="31"/>
      <c r="J7" s="31"/>
      <c r="L7" s="17"/>
    </row>
    <row r="8" spans="2:12" x14ac:dyDescent="0.2">
      <c r="B8" s="27" t="s">
        <v>31</v>
      </c>
      <c r="C8" s="32">
        <v>110</v>
      </c>
      <c r="D8" s="32">
        <f>C8-C10+C9</f>
        <v>95</v>
      </c>
      <c r="E8" s="32">
        <f t="shared" ref="E8:I8" si="2">D8-D10+D9</f>
        <v>125</v>
      </c>
      <c r="F8" s="32">
        <f t="shared" si="2"/>
        <v>152</v>
      </c>
      <c r="G8" s="32">
        <f t="shared" si="2"/>
        <v>165</v>
      </c>
      <c r="H8" s="32">
        <f t="shared" si="2"/>
        <v>189</v>
      </c>
      <c r="I8" s="32">
        <f t="shared" si="2"/>
        <v>248</v>
      </c>
      <c r="J8" s="33">
        <f>SUM(C8:I8)</f>
        <v>1084</v>
      </c>
      <c r="L8" s="18"/>
    </row>
    <row r="9" spans="2:12" x14ac:dyDescent="0.2">
      <c r="B9" s="27" t="s">
        <v>32</v>
      </c>
      <c r="C9" s="32">
        <v>85</v>
      </c>
      <c r="D9" s="32">
        <v>50</v>
      </c>
      <c r="E9" s="32">
        <v>75</v>
      </c>
      <c r="F9" s="32">
        <v>55</v>
      </c>
      <c r="G9" s="32">
        <v>65</v>
      </c>
      <c r="H9" s="32">
        <v>115</v>
      </c>
      <c r="I9" s="32">
        <v>90</v>
      </c>
      <c r="J9" s="33">
        <f t="shared" ref="J9:J16" si="3">SUM(C9:I9)</f>
        <v>535</v>
      </c>
      <c r="L9" s="18"/>
    </row>
    <row r="10" spans="2:12" x14ac:dyDescent="0.2">
      <c r="B10" s="27" t="s">
        <v>17</v>
      </c>
      <c r="C10" s="32">
        <v>100</v>
      </c>
      <c r="D10" s="32">
        <v>20</v>
      </c>
      <c r="E10" s="32">
        <v>48</v>
      </c>
      <c r="F10" s="32">
        <v>42</v>
      </c>
      <c r="G10" s="32">
        <v>41</v>
      </c>
      <c r="H10" s="32">
        <v>56</v>
      </c>
      <c r="I10" s="32">
        <v>94</v>
      </c>
      <c r="J10" s="33">
        <f t="shared" si="3"/>
        <v>401</v>
      </c>
      <c r="L10" s="19" t="s">
        <v>43</v>
      </c>
    </row>
    <row r="11" spans="2:12" x14ac:dyDescent="0.2">
      <c r="B11" s="27" t="s">
        <v>40</v>
      </c>
      <c r="C11" s="32">
        <v>75</v>
      </c>
      <c r="D11" s="33">
        <f>C12</f>
        <v>20</v>
      </c>
      <c r="E11" s="33">
        <f t="shared" ref="E11:I11" si="4">D12</f>
        <v>0</v>
      </c>
      <c r="F11" s="33">
        <f t="shared" si="4"/>
        <v>5</v>
      </c>
      <c r="G11" s="33">
        <f t="shared" si="4"/>
        <v>0</v>
      </c>
      <c r="H11" s="33">
        <f t="shared" si="4"/>
        <v>10</v>
      </c>
      <c r="I11" s="33">
        <f t="shared" si="4"/>
        <v>0</v>
      </c>
      <c r="J11" s="33">
        <f t="shared" si="3"/>
        <v>110</v>
      </c>
      <c r="L11" s="19"/>
    </row>
    <row r="12" spans="2:12" x14ac:dyDescent="0.2">
      <c r="B12" s="27" t="s">
        <v>50</v>
      </c>
      <c r="C12" s="32">
        <v>20</v>
      </c>
      <c r="D12" s="32"/>
      <c r="E12" s="32">
        <v>5</v>
      </c>
      <c r="F12" s="32"/>
      <c r="G12" s="32">
        <v>10</v>
      </c>
      <c r="H12" s="32"/>
      <c r="I12" s="32"/>
      <c r="J12" s="33">
        <f t="shared" si="3"/>
        <v>35</v>
      </c>
      <c r="L12" s="19"/>
    </row>
    <row r="13" spans="2:12" x14ac:dyDescent="0.2">
      <c r="B13" s="27" t="s">
        <v>33</v>
      </c>
      <c r="C13" s="33">
        <f>C8-C9</f>
        <v>25</v>
      </c>
      <c r="D13" s="33">
        <f t="shared" ref="D13:I13" si="5">D8-D9</f>
        <v>45</v>
      </c>
      <c r="E13" s="33">
        <f t="shared" si="5"/>
        <v>50</v>
      </c>
      <c r="F13" s="33">
        <f t="shared" si="5"/>
        <v>97</v>
      </c>
      <c r="G13" s="33">
        <f t="shared" si="5"/>
        <v>100</v>
      </c>
      <c r="H13" s="33">
        <f t="shared" si="5"/>
        <v>74</v>
      </c>
      <c r="I13" s="33">
        <f t="shared" si="5"/>
        <v>158</v>
      </c>
      <c r="J13" s="33">
        <f t="shared" si="3"/>
        <v>549</v>
      </c>
      <c r="L13" s="19" t="s">
        <v>37</v>
      </c>
    </row>
    <row r="14" spans="2:12" x14ac:dyDescent="0.2">
      <c r="B14" s="27" t="s">
        <v>34</v>
      </c>
      <c r="C14" s="42">
        <v>0.15</v>
      </c>
      <c r="D14" s="42">
        <v>0.22</v>
      </c>
      <c r="E14" s="42">
        <v>0.23</v>
      </c>
      <c r="F14" s="42">
        <v>0.24</v>
      </c>
      <c r="G14" s="42">
        <v>0.24</v>
      </c>
      <c r="H14" s="42">
        <v>0.21</v>
      </c>
      <c r="I14" s="42">
        <v>0.12</v>
      </c>
      <c r="J14" s="33"/>
      <c r="L14" s="19" t="s">
        <v>36</v>
      </c>
    </row>
    <row r="15" spans="2:12" x14ac:dyDescent="0.2">
      <c r="B15" s="27" t="s">
        <v>35</v>
      </c>
      <c r="C15" s="33">
        <f>C14*C13</f>
        <v>3.75</v>
      </c>
      <c r="D15" s="33">
        <f t="shared" ref="D15:I15" si="6">D14*D13</f>
        <v>9.9</v>
      </c>
      <c r="E15" s="33">
        <f t="shared" si="6"/>
        <v>11.5</v>
      </c>
      <c r="F15" s="33">
        <f t="shared" si="6"/>
        <v>23.279999999999998</v>
      </c>
      <c r="G15" s="33">
        <f t="shared" si="6"/>
        <v>24</v>
      </c>
      <c r="H15" s="33">
        <f t="shared" si="6"/>
        <v>15.54</v>
      </c>
      <c r="I15" s="33">
        <f t="shared" si="6"/>
        <v>18.96</v>
      </c>
      <c r="J15" s="33">
        <f t="shared" si="3"/>
        <v>106.93</v>
      </c>
      <c r="L15" s="19"/>
    </row>
    <row r="16" spans="2:12" x14ac:dyDescent="0.2">
      <c r="B16" s="27" t="s">
        <v>38</v>
      </c>
      <c r="C16" s="32">
        <v>1</v>
      </c>
      <c r="D16" s="32">
        <v>3</v>
      </c>
      <c r="E16" s="32">
        <v>3</v>
      </c>
      <c r="F16" s="32">
        <v>2</v>
      </c>
      <c r="G16" s="32">
        <v>1</v>
      </c>
      <c r="H16" s="32">
        <v>0</v>
      </c>
      <c r="I16" s="32">
        <v>4</v>
      </c>
      <c r="J16" s="33">
        <f t="shared" si="3"/>
        <v>14</v>
      </c>
      <c r="L16" s="19" t="s">
        <v>39</v>
      </c>
    </row>
    <row r="17" spans="2:20" x14ac:dyDescent="0.2"/>
    <row r="18" spans="2:20" x14ac:dyDescent="0.2">
      <c r="B18" s="26" t="s">
        <v>42</v>
      </c>
    </row>
    <row r="19" spans="2:20" x14ac:dyDescent="0.2">
      <c r="B19" s="27" t="s">
        <v>28</v>
      </c>
      <c r="C19" s="29">
        <f>C5</f>
        <v>46117</v>
      </c>
      <c r="D19" s="29">
        <f t="shared" ref="D19:I19" si="7">D5</f>
        <v>46118</v>
      </c>
      <c r="E19" s="29">
        <f t="shared" si="7"/>
        <v>46119</v>
      </c>
      <c r="F19" s="29">
        <f t="shared" si="7"/>
        <v>46120</v>
      </c>
      <c r="G19" s="29">
        <f t="shared" si="7"/>
        <v>46121</v>
      </c>
      <c r="H19" s="29">
        <f t="shared" si="7"/>
        <v>46122</v>
      </c>
      <c r="I19" s="29">
        <f t="shared" si="7"/>
        <v>46123</v>
      </c>
    </row>
    <row r="20" spans="2:20" x14ac:dyDescent="0.2">
      <c r="B20" s="27" t="s">
        <v>29</v>
      </c>
      <c r="C20" s="29" t="str">
        <f>TEXT(WEEKDAY(C19,1),"dddd")</f>
        <v>Sunday</v>
      </c>
      <c r="D20" s="29" t="str">
        <f t="shared" ref="D20" si="8">TEXT(WEEKDAY(D19,1),"dddd")</f>
        <v>Monday</v>
      </c>
      <c r="E20" s="29" t="str">
        <f t="shared" ref="E20" si="9">TEXT(WEEKDAY(E19,1),"dddd")</f>
        <v>Tuesday</v>
      </c>
      <c r="F20" s="29" t="str">
        <f t="shared" ref="F20" si="10">TEXT(WEEKDAY(F19,1),"dddd")</f>
        <v>Wednesday</v>
      </c>
      <c r="G20" s="29" t="str">
        <f t="shared" ref="G20" si="11">TEXT(WEEKDAY(G19,1),"dddd")</f>
        <v>Thursday</v>
      </c>
      <c r="H20" s="29" t="str">
        <f t="shared" ref="H20" si="12">TEXT(WEEKDAY(H19,1),"dddd")</f>
        <v>Friday</v>
      </c>
      <c r="I20" s="29" t="str">
        <f t="shared" ref="I20" si="13">TEXT(WEEKDAY(I19,1),"dddd")</f>
        <v>Saturday</v>
      </c>
      <c r="J20" s="29" t="s">
        <v>9</v>
      </c>
      <c r="L20" s="16" t="s">
        <v>19</v>
      </c>
    </row>
    <row r="21" spans="2:20" x14ac:dyDescent="0.2">
      <c r="B21" s="34" t="s">
        <v>44</v>
      </c>
      <c r="C21" s="35"/>
      <c r="D21" s="35"/>
      <c r="E21" s="35"/>
      <c r="F21" s="35"/>
      <c r="G21" s="35"/>
      <c r="H21" s="35"/>
      <c r="I21" s="35"/>
      <c r="J21" s="36"/>
      <c r="L21" s="18"/>
      <c r="N21" s="20"/>
      <c r="O21" s="20"/>
      <c r="P21" s="20"/>
      <c r="Q21" s="20"/>
      <c r="R21" s="20"/>
      <c r="S21" s="20"/>
      <c r="T21" s="21"/>
    </row>
    <row r="22" spans="2:20" x14ac:dyDescent="0.2">
      <c r="B22" s="37" t="s">
        <v>45</v>
      </c>
      <c r="C22" s="38">
        <f>C10-C12+C11</f>
        <v>155</v>
      </c>
      <c r="D22" s="38">
        <f>D10-D12+D11</f>
        <v>40</v>
      </c>
      <c r="E22" s="38">
        <f t="shared" ref="E22:I22" si="14">E10-E12+E11</f>
        <v>43</v>
      </c>
      <c r="F22" s="38">
        <f t="shared" si="14"/>
        <v>47</v>
      </c>
      <c r="G22" s="38">
        <f t="shared" si="14"/>
        <v>31</v>
      </c>
      <c r="H22" s="38">
        <f t="shared" si="14"/>
        <v>66</v>
      </c>
      <c r="I22" s="38">
        <f t="shared" si="14"/>
        <v>94</v>
      </c>
      <c r="J22" s="38">
        <f>SUM(C22:I22)</f>
        <v>476</v>
      </c>
      <c r="L22" s="19" t="s">
        <v>53</v>
      </c>
    </row>
    <row r="23" spans="2:20" x14ac:dyDescent="0.2">
      <c r="B23" s="37" t="s">
        <v>46</v>
      </c>
      <c r="C23" s="38">
        <f>C13-C15</f>
        <v>21.25</v>
      </c>
      <c r="D23" s="38">
        <f t="shared" ref="D23:I23" si="15">D13-D15</f>
        <v>35.1</v>
      </c>
      <c r="E23" s="38">
        <f t="shared" si="15"/>
        <v>38.5</v>
      </c>
      <c r="F23" s="38">
        <f t="shared" si="15"/>
        <v>73.72</v>
      </c>
      <c r="G23" s="38">
        <f t="shared" si="15"/>
        <v>76</v>
      </c>
      <c r="H23" s="38">
        <f t="shared" si="15"/>
        <v>58.46</v>
      </c>
      <c r="I23" s="38">
        <f t="shared" si="15"/>
        <v>139.04</v>
      </c>
      <c r="J23" s="38">
        <f t="shared" ref="J23:J24" si="16">SUM(C23:I23)</f>
        <v>442.06999999999994</v>
      </c>
      <c r="L23" s="19" t="s">
        <v>54</v>
      </c>
    </row>
    <row r="24" spans="2:20" x14ac:dyDescent="0.2">
      <c r="B24" s="37" t="s">
        <v>49</v>
      </c>
      <c r="C24" s="38">
        <f>SUM(C22:C23)</f>
        <v>176.25</v>
      </c>
      <c r="D24" s="38">
        <f t="shared" ref="D24:I24" si="17">SUM(D22:D23)</f>
        <v>75.099999999999994</v>
      </c>
      <c r="E24" s="38">
        <f t="shared" si="17"/>
        <v>81.5</v>
      </c>
      <c r="F24" s="38">
        <f t="shared" si="17"/>
        <v>120.72</v>
      </c>
      <c r="G24" s="38">
        <f t="shared" si="17"/>
        <v>107</v>
      </c>
      <c r="H24" s="38">
        <f t="shared" si="17"/>
        <v>124.46000000000001</v>
      </c>
      <c r="I24" s="38">
        <f t="shared" si="17"/>
        <v>233.04</v>
      </c>
      <c r="J24" s="38">
        <f t="shared" si="16"/>
        <v>918.07</v>
      </c>
      <c r="L24" s="19"/>
    </row>
    <row r="25" spans="2:20" ht="16" customHeight="1" x14ac:dyDescent="0.2">
      <c r="B25" s="34" t="s">
        <v>48</v>
      </c>
      <c r="C25" s="35"/>
      <c r="D25" s="35"/>
      <c r="E25" s="35"/>
      <c r="F25" s="35"/>
      <c r="G25" s="35"/>
      <c r="H25" s="35"/>
      <c r="I25" s="35"/>
      <c r="J25" s="36"/>
      <c r="L25" s="19"/>
    </row>
    <row r="26" spans="2:20" x14ac:dyDescent="0.2">
      <c r="B26" s="37" t="s">
        <v>47</v>
      </c>
      <c r="C26" s="38">
        <f>C24*Configuration!$E$15</f>
        <v>243.63970588235293</v>
      </c>
      <c r="D26" s="38">
        <f>D24*Configuration!$E$15</f>
        <v>103.81470588235292</v>
      </c>
      <c r="E26" s="38">
        <f>E24*Configuration!$E$15</f>
        <v>112.66176470588235</v>
      </c>
      <c r="F26" s="38">
        <f>F24*Configuration!$E$15</f>
        <v>166.87764705882353</v>
      </c>
      <c r="G26" s="38">
        <f>G24*Configuration!$E$15</f>
        <v>147.91176470588235</v>
      </c>
      <c r="H26" s="38">
        <f>H24*Configuration!$E$15</f>
        <v>172.04764705882354</v>
      </c>
      <c r="I26" s="38">
        <f>I24*Configuration!$E$15</f>
        <v>322.14352941176469</v>
      </c>
      <c r="J26" s="38">
        <f>SUM(C26:I26)</f>
        <v>1269.0967647058824</v>
      </c>
      <c r="L26" s="19"/>
    </row>
    <row r="27" spans="2:20" x14ac:dyDescent="0.2">
      <c r="B27" s="37" t="s">
        <v>51</v>
      </c>
      <c r="C27" s="38">
        <f>C16</f>
        <v>1</v>
      </c>
      <c r="D27" s="38">
        <f t="shared" ref="D27:I27" si="18">D16</f>
        <v>3</v>
      </c>
      <c r="E27" s="38">
        <f t="shared" si="18"/>
        <v>3</v>
      </c>
      <c r="F27" s="38">
        <f t="shared" si="18"/>
        <v>2</v>
      </c>
      <c r="G27" s="38">
        <f t="shared" si="18"/>
        <v>1</v>
      </c>
      <c r="H27" s="38">
        <f t="shared" si="18"/>
        <v>0</v>
      </c>
      <c r="I27" s="38">
        <f t="shared" si="18"/>
        <v>4</v>
      </c>
      <c r="J27" s="38">
        <f t="shared" ref="J27:J28" si="19">SUM(C27:I27)</f>
        <v>14</v>
      </c>
      <c r="L27" s="19"/>
    </row>
    <row r="28" spans="2:20" x14ac:dyDescent="0.2">
      <c r="B28" s="37" t="s">
        <v>52</v>
      </c>
      <c r="C28" s="38">
        <f>SUM(C26:C27)</f>
        <v>244.63970588235293</v>
      </c>
      <c r="D28" s="38">
        <f t="shared" ref="D28:I28" si="20">SUM(D26:D27)</f>
        <v>106.81470588235292</v>
      </c>
      <c r="E28" s="38">
        <f t="shared" si="20"/>
        <v>115.66176470588235</v>
      </c>
      <c r="F28" s="38">
        <f t="shared" si="20"/>
        <v>168.87764705882353</v>
      </c>
      <c r="G28" s="38">
        <f t="shared" si="20"/>
        <v>148.91176470588235</v>
      </c>
      <c r="H28" s="38">
        <f t="shared" si="20"/>
        <v>172.04764705882354</v>
      </c>
      <c r="I28" s="38">
        <f t="shared" si="20"/>
        <v>326.14352941176469</v>
      </c>
      <c r="J28" s="38">
        <f t="shared" si="19"/>
        <v>1283.0967647058824</v>
      </c>
      <c r="L28" s="19"/>
    </row>
    <row r="29" spans="2:20" ht="16" customHeight="1" x14ac:dyDescent="0.2">
      <c r="B29" s="34" t="s">
        <v>55</v>
      </c>
      <c r="C29" s="35"/>
      <c r="D29" s="35"/>
      <c r="E29" s="35"/>
      <c r="F29" s="35"/>
      <c r="G29" s="35"/>
      <c r="H29" s="35"/>
      <c r="I29" s="35"/>
      <c r="J29" s="36"/>
      <c r="L29" s="19"/>
    </row>
    <row r="30" spans="2:20" x14ac:dyDescent="0.2">
      <c r="B30" s="39" t="s">
        <v>56</v>
      </c>
      <c r="C30" s="38"/>
      <c r="D30" s="38"/>
      <c r="E30" s="38"/>
      <c r="F30" s="38"/>
      <c r="G30" s="38"/>
      <c r="H30" s="38"/>
      <c r="I30" s="38"/>
      <c r="J30" s="38"/>
      <c r="L30" s="19" t="s">
        <v>70</v>
      </c>
    </row>
    <row r="31" spans="2:20" x14ac:dyDescent="0.2">
      <c r="B31" s="37" t="s">
        <v>57</v>
      </c>
      <c r="C31" s="38">
        <f>ROUNDUP(C$28/Configuration!$D$19,0)</f>
        <v>19</v>
      </c>
      <c r="D31" s="38">
        <f>ROUNDUP(D$28/Configuration!$D$19,0)</f>
        <v>9</v>
      </c>
      <c r="E31" s="38">
        <f>ROUNDUP(E$28/Configuration!$D$19,0)</f>
        <v>9</v>
      </c>
      <c r="F31" s="38">
        <f>ROUNDUP(F$28/Configuration!$D$19,0)</f>
        <v>13</v>
      </c>
      <c r="G31" s="38">
        <f>ROUNDUP(G$28/Configuration!$D$19,0)</f>
        <v>12</v>
      </c>
      <c r="H31" s="38">
        <f>ROUNDUP(H$28/Configuration!$D$19,0)</f>
        <v>14</v>
      </c>
      <c r="I31" s="38">
        <f>ROUNDUP(I$28/Configuration!$D$19,0)</f>
        <v>26</v>
      </c>
      <c r="J31" s="38">
        <f t="shared" ref="J31:J32" si="21">SUM(C31:I31)</f>
        <v>102</v>
      </c>
      <c r="L31" s="19"/>
    </row>
    <row r="32" spans="2:20" x14ac:dyDescent="0.2">
      <c r="B32" s="37" t="s">
        <v>58</v>
      </c>
      <c r="C32" s="43">
        <f>IFERROR(C22/C31,"")</f>
        <v>8.1578947368421044</v>
      </c>
      <c r="D32" s="43">
        <f t="shared" ref="D32:I32" si="22">IFERROR(D22/D31,"")</f>
        <v>4.4444444444444446</v>
      </c>
      <c r="E32" s="43">
        <f t="shared" si="22"/>
        <v>4.7777777777777777</v>
      </c>
      <c r="F32" s="43">
        <f t="shared" si="22"/>
        <v>3.6153846153846154</v>
      </c>
      <c r="G32" s="43">
        <f t="shared" si="22"/>
        <v>2.5833333333333335</v>
      </c>
      <c r="H32" s="43">
        <f t="shared" si="22"/>
        <v>4.7142857142857144</v>
      </c>
      <c r="I32" s="43">
        <f t="shared" si="22"/>
        <v>3.6153846153846154</v>
      </c>
      <c r="J32" s="38">
        <f t="shared" si="21"/>
        <v>31.908505237452609</v>
      </c>
      <c r="L32" s="19"/>
    </row>
    <row r="33" spans="2:12" x14ac:dyDescent="0.2">
      <c r="B33" s="39" t="s">
        <v>59</v>
      </c>
      <c r="C33" s="38"/>
      <c r="D33" s="38"/>
      <c r="E33" s="38"/>
      <c r="F33" s="38"/>
      <c r="G33" s="38"/>
      <c r="H33" s="38"/>
      <c r="I33" s="38"/>
      <c r="J33" s="38"/>
      <c r="L33" s="19"/>
    </row>
    <row r="34" spans="2:12" x14ac:dyDescent="0.2">
      <c r="B34" s="37" t="s">
        <v>57</v>
      </c>
      <c r="C34" s="38">
        <f>ROUNDUP(IF(C$32&gt;=Configuration!$C$20,'Weekly Schedule'!C$28/Configuration!$D$20,C$31),0)</f>
        <v>21</v>
      </c>
      <c r="D34" s="38">
        <f>ROUNDUP(IF(D$32&gt;=Configuration!$C$20,'Weekly Schedule'!D$28/Configuration!$D$20,D$31),0)</f>
        <v>9</v>
      </c>
      <c r="E34" s="38">
        <f>ROUNDUP(IF(E$32&gt;=Configuration!$C$20,'Weekly Schedule'!E$28/Configuration!$D$20,E$31),0)</f>
        <v>9</v>
      </c>
      <c r="F34" s="38">
        <f>ROUNDUP(IF(F$32&gt;=Configuration!$C$20,'Weekly Schedule'!F$28/Configuration!$D$20,F$31),0)</f>
        <v>13</v>
      </c>
      <c r="G34" s="38">
        <f>ROUNDUP(IF(G$32&gt;=Configuration!$C$20,'Weekly Schedule'!G$28/Configuration!$D$20,G$31),0)</f>
        <v>12</v>
      </c>
      <c r="H34" s="38">
        <f>ROUNDUP(IF(H$32&gt;=Configuration!$C$20,'Weekly Schedule'!H$28/Configuration!$D$20,H$31),0)</f>
        <v>14</v>
      </c>
      <c r="I34" s="38">
        <f>ROUNDUP(IF(I$32&gt;=Configuration!$C$20,'Weekly Schedule'!I$28/Configuration!$D$20,I$31),0)</f>
        <v>26</v>
      </c>
      <c r="J34" s="38">
        <f t="shared" ref="J34:J35" si="23">SUM(C34:I34)</f>
        <v>104</v>
      </c>
      <c r="L34" s="19" t="s">
        <v>76</v>
      </c>
    </row>
    <row r="35" spans="2:12" x14ac:dyDescent="0.2">
      <c r="B35" s="37" t="s">
        <v>58</v>
      </c>
      <c r="C35" s="43">
        <f>IFERROR(C22/C34,"")</f>
        <v>7.3809523809523814</v>
      </c>
      <c r="D35" s="43">
        <f t="shared" ref="D35:I35" si="24">IFERROR(D22/D34,"")</f>
        <v>4.4444444444444446</v>
      </c>
      <c r="E35" s="43">
        <f t="shared" si="24"/>
        <v>4.7777777777777777</v>
      </c>
      <c r="F35" s="43">
        <f t="shared" si="24"/>
        <v>3.6153846153846154</v>
      </c>
      <c r="G35" s="43">
        <f t="shared" si="24"/>
        <v>2.5833333333333335</v>
      </c>
      <c r="H35" s="43">
        <f t="shared" si="24"/>
        <v>4.7142857142857144</v>
      </c>
      <c r="I35" s="43">
        <f t="shared" si="24"/>
        <v>3.6153846153846154</v>
      </c>
      <c r="J35" s="38">
        <f t="shared" si="23"/>
        <v>31.131562881562886</v>
      </c>
      <c r="L35" s="19"/>
    </row>
    <row r="36" spans="2:12" x14ac:dyDescent="0.2">
      <c r="B36" s="39" t="s">
        <v>60</v>
      </c>
      <c r="C36" s="38"/>
      <c r="D36" s="38"/>
      <c r="E36" s="38"/>
      <c r="F36" s="38"/>
      <c r="G36" s="38"/>
      <c r="H36" s="38"/>
      <c r="I36" s="38"/>
      <c r="J36" s="38"/>
      <c r="L36" s="19"/>
    </row>
    <row r="37" spans="2:12" x14ac:dyDescent="0.2">
      <c r="B37" s="37" t="s">
        <v>57</v>
      </c>
      <c r="C37" s="38">
        <f>ROUNDUP(IF(C$35&gt;=Configuration!$C$21,'Weekly Schedule'!C$28/Configuration!$D$21,C$34),0)</f>
        <v>21</v>
      </c>
      <c r="D37" s="38">
        <f>ROUNDUP(IF(D$35&gt;=Configuration!$C$21,'Weekly Schedule'!D$28/Configuration!$D$21,D$34),0)</f>
        <v>9</v>
      </c>
      <c r="E37" s="38">
        <f>ROUNDUP(IF(E$35&gt;=Configuration!$C$21,'Weekly Schedule'!E$28/Configuration!$D$21,E$34),0)</f>
        <v>9</v>
      </c>
      <c r="F37" s="38">
        <f>ROUNDUP(IF(F$35&gt;=Configuration!$C$21,'Weekly Schedule'!F$28/Configuration!$D$21,F$34),0)</f>
        <v>13</v>
      </c>
      <c r="G37" s="38">
        <f>ROUNDUP(IF(G$35&gt;=Configuration!$C$21,'Weekly Schedule'!G$28/Configuration!$D$21,G$34),0)</f>
        <v>12</v>
      </c>
      <c r="H37" s="38">
        <f>ROUNDUP(IF(H$35&gt;=Configuration!$C$21,'Weekly Schedule'!H$28/Configuration!$D$21,H$34),0)</f>
        <v>14</v>
      </c>
      <c r="I37" s="38">
        <f>ROUNDUP(IF(I$35&gt;=Configuration!$C$21,'Weekly Schedule'!I$28/Configuration!$D$21,I$34),0)</f>
        <v>26</v>
      </c>
      <c r="J37" s="38">
        <f t="shared" ref="J37:J38" si="25">SUM(C37:I37)</f>
        <v>104</v>
      </c>
      <c r="L37" s="19" t="s">
        <v>77</v>
      </c>
    </row>
    <row r="38" spans="2:12" x14ac:dyDescent="0.2">
      <c r="B38" s="37" t="s">
        <v>58</v>
      </c>
      <c r="C38" s="43">
        <f>IFERROR(C$22/C$37,"")</f>
        <v>7.3809523809523814</v>
      </c>
      <c r="D38" s="43">
        <f t="shared" ref="D38:I38" si="26">IFERROR(D$22/D$37,"")</f>
        <v>4.4444444444444446</v>
      </c>
      <c r="E38" s="43">
        <f t="shared" si="26"/>
        <v>4.7777777777777777</v>
      </c>
      <c r="F38" s="43">
        <f t="shared" si="26"/>
        <v>3.6153846153846154</v>
      </c>
      <c r="G38" s="43">
        <f t="shared" si="26"/>
        <v>2.5833333333333335</v>
      </c>
      <c r="H38" s="43">
        <f t="shared" si="26"/>
        <v>4.7142857142857144</v>
      </c>
      <c r="I38" s="43">
        <f t="shared" si="26"/>
        <v>3.6153846153846154</v>
      </c>
      <c r="J38" s="38">
        <f t="shared" si="25"/>
        <v>31.131562881562886</v>
      </c>
      <c r="L38" s="19"/>
    </row>
    <row r="39" spans="2:12" x14ac:dyDescent="0.2">
      <c r="B39" s="39" t="s">
        <v>61</v>
      </c>
      <c r="C39" s="38"/>
      <c r="D39" s="38"/>
      <c r="E39" s="38"/>
      <c r="F39" s="38"/>
      <c r="G39" s="38"/>
      <c r="H39" s="38"/>
      <c r="I39" s="38"/>
      <c r="J39" s="38"/>
      <c r="L39" s="19"/>
    </row>
    <row r="40" spans="2:12" x14ac:dyDescent="0.2">
      <c r="B40" s="37" t="s">
        <v>57</v>
      </c>
      <c r="C40" s="38">
        <f>ROUNDUP(IF(C$38&gt;=Configuration!$C$22,'Weekly Schedule'!C$24/Configuration!$D$22,C$37),0)</f>
        <v>21</v>
      </c>
      <c r="D40" s="38">
        <f>ROUNDUP(IF(D$38&gt;=Configuration!$C$22,'Weekly Schedule'!D$24/Configuration!$D$22,D$37),0)</f>
        <v>9</v>
      </c>
      <c r="E40" s="38">
        <f>ROUNDUP(IF(E$38&gt;=Configuration!$C$22,'Weekly Schedule'!E$24/Configuration!$D$22,E$37),0)</f>
        <v>9</v>
      </c>
      <c r="F40" s="38">
        <f>ROUNDUP(IF(F$38&gt;=Configuration!$C$22,'Weekly Schedule'!F$24/Configuration!$D$22,F$37),0)</f>
        <v>13</v>
      </c>
      <c r="G40" s="38">
        <f>ROUNDUP(IF(G$38&gt;=Configuration!$C$22,'Weekly Schedule'!G$24/Configuration!$D$22,G$37),0)</f>
        <v>12</v>
      </c>
      <c r="H40" s="38">
        <f>ROUNDUP(IF(H$38&gt;=Configuration!$C$22,'Weekly Schedule'!H$24/Configuration!$D$22,H$37),0)</f>
        <v>14</v>
      </c>
      <c r="I40" s="38">
        <f>ROUNDUP(IF(I$38&gt;=Configuration!$C$22,'Weekly Schedule'!I$24/Configuration!$D$22,I$37),0)</f>
        <v>26</v>
      </c>
      <c r="J40" s="38">
        <f t="shared" ref="J40:J48" si="27">SUM(C40:I40)</f>
        <v>104</v>
      </c>
      <c r="L40" s="19" t="s">
        <v>78</v>
      </c>
    </row>
    <row r="41" spans="2:12" x14ac:dyDescent="0.2">
      <c r="B41" s="37" t="s">
        <v>58</v>
      </c>
      <c r="C41" s="43">
        <f>IFERROR(C22/C40,"")</f>
        <v>7.3809523809523814</v>
      </c>
      <c r="D41" s="43">
        <f t="shared" ref="D41:I41" si="28">IFERROR(D22/D40,"")</f>
        <v>4.4444444444444446</v>
      </c>
      <c r="E41" s="43">
        <f t="shared" si="28"/>
        <v>4.7777777777777777</v>
      </c>
      <c r="F41" s="43">
        <f t="shared" si="28"/>
        <v>3.6153846153846154</v>
      </c>
      <c r="G41" s="43">
        <f t="shared" si="28"/>
        <v>2.5833333333333335</v>
      </c>
      <c r="H41" s="43">
        <f t="shared" si="28"/>
        <v>4.7142857142857144</v>
      </c>
      <c r="I41" s="43">
        <f t="shared" si="28"/>
        <v>3.6153846153846154</v>
      </c>
      <c r="J41" s="38">
        <f t="shared" si="27"/>
        <v>31.131562881562886</v>
      </c>
      <c r="L41" s="19"/>
    </row>
    <row r="42" spans="2:12" x14ac:dyDescent="0.2">
      <c r="B42" s="37" t="s">
        <v>62</v>
      </c>
      <c r="C42" s="38">
        <f>C40</f>
        <v>21</v>
      </c>
      <c r="D42" s="38">
        <f>D40</f>
        <v>9</v>
      </c>
      <c r="E42" s="38">
        <f t="shared" ref="D42:I42" si="29">E40</f>
        <v>9</v>
      </c>
      <c r="F42" s="38">
        <f t="shared" si="29"/>
        <v>13</v>
      </c>
      <c r="G42" s="38">
        <f t="shared" si="29"/>
        <v>12</v>
      </c>
      <c r="H42" s="38">
        <f t="shared" si="29"/>
        <v>14</v>
      </c>
      <c r="I42" s="38">
        <f t="shared" si="29"/>
        <v>26</v>
      </c>
      <c r="J42" s="38">
        <f t="shared" si="27"/>
        <v>104</v>
      </c>
      <c r="L42" s="19" t="s">
        <v>79</v>
      </c>
    </row>
    <row r="43" spans="2:12" x14ac:dyDescent="0.2">
      <c r="B43" s="37" t="s">
        <v>66</v>
      </c>
      <c r="C43" s="43">
        <f>IFERROR(C26/C42,"")</f>
        <v>11.60189075630252</v>
      </c>
      <c r="D43" s="43">
        <f t="shared" ref="D43:I43" si="30">IFERROR(D26/D42,"")</f>
        <v>11.534967320261437</v>
      </c>
      <c r="E43" s="43">
        <f t="shared" si="30"/>
        <v>12.517973856209149</v>
      </c>
      <c r="F43" s="43">
        <f t="shared" si="30"/>
        <v>12.836742081447964</v>
      </c>
      <c r="G43" s="43">
        <f t="shared" si="30"/>
        <v>12.325980392156863</v>
      </c>
      <c r="H43" s="43">
        <f t="shared" si="30"/>
        <v>12.289117647058825</v>
      </c>
      <c r="I43" s="43">
        <f t="shared" si="30"/>
        <v>12.390135746606335</v>
      </c>
      <c r="J43" s="43">
        <f t="shared" si="27"/>
        <v>85.496807800043101</v>
      </c>
      <c r="L43" s="19" t="s">
        <v>80</v>
      </c>
    </row>
    <row r="44" spans="2:12" x14ac:dyDescent="0.2">
      <c r="B44" s="37" t="s">
        <v>67</v>
      </c>
      <c r="C44" s="43">
        <f>IFERROR((C42*Configuration!$C$6)/C8,"")</f>
        <v>1.5272727272727273</v>
      </c>
      <c r="D44" s="43">
        <f>IFERROR((D42*Configuration!$C$6)/D8,"")</f>
        <v>0.75789473684210529</v>
      </c>
      <c r="E44" s="43">
        <f>IFERROR((E42*Configuration!$C$6)/E8,"")</f>
        <v>0.57599999999999996</v>
      </c>
      <c r="F44" s="43">
        <f>IFERROR((F42*Configuration!$C$6)/F8,"")</f>
        <v>0.68421052631578949</v>
      </c>
      <c r="G44" s="43">
        <f>IFERROR((G42*Configuration!$C$6)/G8,"")</f>
        <v>0.58181818181818179</v>
      </c>
      <c r="H44" s="43">
        <f>IFERROR((H42*Configuration!$C$6)/H8,"")</f>
        <v>0.59259259259259256</v>
      </c>
      <c r="I44" s="43">
        <f>IFERROR((I42*Configuration!$C$6)/I8,"")</f>
        <v>0.83870967741935487</v>
      </c>
      <c r="J44" s="43">
        <f t="shared" si="27"/>
        <v>5.5584984422607517</v>
      </c>
      <c r="L44" s="19"/>
    </row>
    <row r="45" spans="2:12" x14ac:dyDescent="0.2">
      <c r="B45" s="37" t="s">
        <v>65</v>
      </c>
      <c r="C45" s="32">
        <v>23</v>
      </c>
      <c r="D45" s="32">
        <v>15</v>
      </c>
      <c r="E45" s="32">
        <v>16</v>
      </c>
      <c r="F45" s="32">
        <v>16</v>
      </c>
      <c r="G45" s="32">
        <v>16</v>
      </c>
      <c r="H45" s="32">
        <v>16</v>
      </c>
      <c r="I45" s="32">
        <v>20</v>
      </c>
      <c r="J45" s="38">
        <f t="shared" si="27"/>
        <v>122</v>
      </c>
      <c r="L45" s="19" t="s">
        <v>69</v>
      </c>
    </row>
    <row r="46" spans="2:12" x14ac:dyDescent="0.2">
      <c r="B46" s="37" t="s">
        <v>63</v>
      </c>
      <c r="C46" s="43">
        <f>IFERROR(C26/C45,"")</f>
        <v>10.593030690537084</v>
      </c>
      <c r="D46" s="43">
        <f t="shared" ref="D46:I46" si="31">IFERROR(D26/D45,"")</f>
        <v>6.9209803921568618</v>
      </c>
      <c r="E46" s="43">
        <f t="shared" si="31"/>
        <v>7.0413602941176467</v>
      </c>
      <c r="F46" s="43">
        <f t="shared" si="31"/>
        <v>10.42985294117647</v>
      </c>
      <c r="G46" s="43">
        <f t="shared" si="31"/>
        <v>9.2444852941176467</v>
      </c>
      <c r="H46" s="43">
        <f t="shared" si="31"/>
        <v>10.752977941176471</v>
      </c>
      <c r="I46" s="43">
        <f t="shared" si="31"/>
        <v>16.107176470588236</v>
      </c>
      <c r="J46" s="43">
        <f t="shared" si="27"/>
        <v>71.089864023870405</v>
      </c>
      <c r="L46" s="19" t="s">
        <v>81</v>
      </c>
    </row>
    <row r="47" spans="2:12" x14ac:dyDescent="0.2">
      <c r="B47" s="37" t="s">
        <v>64</v>
      </c>
      <c r="C47" s="43">
        <f>IFERROR((C45*Configuration!$C$6)/C$8,"")</f>
        <v>1.6727272727272726</v>
      </c>
      <c r="D47" s="43">
        <f>IFERROR((D45*Configuration!$C$6)/D$8,"")</f>
        <v>1.263157894736842</v>
      </c>
      <c r="E47" s="43">
        <f>IFERROR((E45*Configuration!$C$6)/E$8,"")</f>
        <v>1.024</v>
      </c>
      <c r="F47" s="43">
        <f>IFERROR((F45*Configuration!$C$6)/F$8,"")</f>
        <v>0.84210526315789469</v>
      </c>
      <c r="G47" s="43">
        <f>IFERROR((G45*Configuration!$C$6)/G$8,"")</f>
        <v>0.77575757575757576</v>
      </c>
      <c r="H47" s="43">
        <f>IFERROR((H45*Configuration!$C$6)/H$8,"")</f>
        <v>0.67724867724867721</v>
      </c>
      <c r="I47" s="43">
        <f>IFERROR((I45*Configuration!$C$6)/I$8,"")</f>
        <v>0.64516129032258063</v>
      </c>
      <c r="J47" s="43">
        <f t="shared" si="27"/>
        <v>6.9001579739508427</v>
      </c>
      <c r="L47" s="19" t="s">
        <v>81</v>
      </c>
    </row>
    <row r="48" spans="2:12" x14ac:dyDescent="0.2">
      <c r="B48" s="37" t="s">
        <v>68</v>
      </c>
      <c r="C48" s="38">
        <f>IF(C45="","",C42-C45)</f>
        <v>-2</v>
      </c>
      <c r="D48" s="38">
        <f t="shared" ref="D48:J48" si="32">IF(D45="","",D42-D45)</f>
        <v>-6</v>
      </c>
      <c r="E48" s="38">
        <f t="shared" si="32"/>
        <v>-7</v>
      </c>
      <c r="F48" s="38">
        <f t="shared" si="32"/>
        <v>-3</v>
      </c>
      <c r="G48" s="38">
        <f t="shared" si="32"/>
        <v>-4</v>
      </c>
      <c r="H48" s="38">
        <f t="shared" si="32"/>
        <v>-2</v>
      </c>
      <c r="I48" s="38">
        <f t="shared" si="32"/>
        <v>6</v>
      </c>
      <c r="J48" s="38">
        <f t="shared" si="32"/>
        <v>-18</v>
      </c>
      <c r="L48" s="19" t="s">
        <v>82</v>
      </c>
    </row>
    <row r="49" spans="2:12" ht="49" customHeight="1" x14ac:dyDescent="0.2">
      <c r="B49" s="40" t="s">
        <v>71</v>
      </c>
      <c r="C49" s="41"/>
      <c r="D49" s="41"/>
      <c r="E49" s="41"/>
      <c r="F49" s="41"/>
      <c r="G49" s="41"/>
      <c r="H49" s="41"/>
      <c r="I49" s="41"/>
      <c r="J49" s="41"/>
      <c r="L49" s="22" t="s">
        <v>83</v>
      </c>
    </row>
    <row r="50" spans="2:12" x14ac:dyDescent="0.2"/>
  </sheetData>
  <mergeCells count="4">
    <mergeCell ref="B7:J7"/>
    <mergeCell ref="B21:J21"/>
    <mergeCell ref="B25:J25"/>
    <mergeCell ref="B29:J29"/>
  </mergeCells>
  <conditionalFormatting sqref="C48:J48">
    <cfRule type="expression" dxfId="4" priority="3">
      <formula>"&lt;0"</formula>
    </cfRule>
    <cfRule type="expression" dxfId="5" priority="2">
      <formula>"&gt;0"</formula>
    </cfRule>
    <cfRule type="expression" dxfId="3" priority="1">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Configuration</vt:lpstr>
      <vt:lpstr>Weekly 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Daphné Croteau</dc:creator>
  <cp:lastModifiedBy>Daphné Croteau</cp:lastModifiedBy>
  <dcterms:created xsi:type="dcterms:W3CDTF">2026-03-20T00:32:55Z</dcterms:created>
  <dcterms:modified xsi:type="dcterms:W3CDTF">2026-03-20T18:27:55Z</dcterms:modified>
</cp:coreProperties>
</file>